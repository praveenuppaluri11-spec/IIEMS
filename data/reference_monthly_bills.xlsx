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0a448ac85dd21/SKILLO/IIEMS/core-workspace-app/data/"/>
    </mc:Choice>
  </mc:AlternateContent>
  <xr:revisionPtr revIDLastSave="0" documentId="8_{A5DF9422-A2D4-4123-8D35-7A83001286F7}" xr6:coauthVersionLast="47" xr6:coauthVersionMax="47" xr10:uidLastSave="{00000000-0000-0000-0000-000000000000}"/>
  <bookViews>
    <workbookView xWindow="4644" yWindow="360" windowWidth="18372" windowHeight="11784" activeTab="1" xr2:uid="{2D82297E-1107-4DC2-B053-C04D86EC4049}"/>
  </bookViews>
  <sheets>
    <sheet name="Tier4" sheetId="1" r:id="rId1"/>
    <sheet name="Tie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2" l="1"/>
  <c r="K12" i="2"/>
  <c r="K7" i="2"/>
  <c r="K5" i="2"/>
  <c r="K13" i="2" l="1"/>
</calcChain>
</file>

<file path=xl/sharedStrings.xml><?xml version="1.0" encoding="utf-8"?>
<sst xmlns="http://schemas.openxmlformats.org/spreadsheetml/2006/main" count="35" uniqueCount="35">
  <si>
    <t>Metric / Description</t>
  </si>
  <si>
    <t>Contracted MD (KVA)</t>
  </si>
  <si>
    <t>Meter End KWH</t>
  </si>
  <si>
    <t>Meter End KVAH</t>
  </si>
  <si>
    <t>Meter End KVA</t>
  </si>
  <si>
    <t>Meter Start KWH</t>
  </si>
  <si>
    <t>Meter Start KVAH</t>
  </si>
  <si>
    <t>Total Cons KWH</t>
  </si>
  <si>
    <t>Total Cons KVAH</t>
  </si>
  <si>
    <t>Total Cons KVA</t>
  </si>
  <si>
    <t>Demand Rate (Rs.)</t>
  </si>
  <si>
    <t>Demand Amt (Rs.)</t>
  </si>
  <si>
    <t>Energy Rate (Ps.)</t>
  </si>
  <si>
    <t>Energy Amt (Rs.)</t>
  </si>
  <si>
    <t>Elec Duty (Rs.)</t>
  </si>
  <si>
    <t>Sub Total</t>
  </si>
  <si>
    <t>Cust Charges</t>
  </si>
  <si>
    <t>ICD FY24-25 Adj.</t>
  </si>
  <si>
    <t>Gross Total</t>
  </si>
  <si>
    <t>Total Payable Rs.</t>
  </si>
  <si>
    <t>ACD Due</t>
  </si>
  <si>
    <t>Parameter</t>
  </si>
  <si>
    <t>MD Contract Load</t>
  </si>
  <si>
    <t>kWh (Actual)</t>
  </si>
  <si>
    <t>kVAh</t>
  </si>
  <si>
    <t>Power Factor</t>
  </si>
  <si>
    <t>Max Demand (KVA)</t>
  </si>
  <si>
    <t>MD % of Contract</t>
  </si>
  <si>
    <t>Energy Charges (₹)</t>
  </si>
  <si>
    <t>MD Charges (₹)</t>
  </si>
  <si>
    <t>Elec. Duty (₹)</t>
  </si>
  <si>
    <t>Customer Charges (₹)</t>
  </si>
  <si>
    <t>Total Payable (₹)</t>
  </si>
  <si>
    <t>Blended Rate (₹/kWh)</t>
  </si>
  <si>
    <t>kWh/Day (Avg)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</si>
</sst>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0.000"/>
    <numFmt numFmtId="166" formatCode="0.0%"/>
    <numFmt numFmtId="167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7" fontId="2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1" fontId="4" fillId="2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1" fontId="4" fillId="0" borderId="2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65" fontId="0" fillId="0" borderId="0" xfId="0" applyNumberFormat="1"/>
    <xf numFmtId="4" fontId="3" fillId="0" borderId="1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166" fontId="0" fillId="0" borderId="0" xfId="1" applyNumberFormat="1" applyFont="1"/>
    <xf numFmtId="167" fontId="4" fillId="0" borderId="1" xfId="0" applyNumberFormat="1" applyFont="1" applyBorder="1" applyAlignment="1">
      <alignment horizontal="right" vertical="center" wrapText="1"/>
    </xf>
    <xf numFmtId="167" fontId="3" fillId="0" borderId="1" xfId="0" applyNumberFormat="1" applyFont="1" applyBorder="1" applyAlignment="1">
      <alignment horizontal="right" vertical="center" wrapText="1"/>
    </xf>
    <xf numFmtId="167" fontId="4" fillId="0" borderId="2" xfId="0" applyNumberFormat="1" applyFont="1" applyBorder="1" applyAlignment="1">
      <alignment horizontal="right" vertical="center" wrapText="1"/>
    </xf>
    <xf numFmtId="167" fontId="0" fillId="0" borderId="0" xfId="0" applyNumberFormat="1"/>
    <xf numFmtId="3" fontId="4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1" fontId="0" fillId="0" borderId="0" xfId="0" applyNumberFormat="1"/>
    <xf numFmtId="0" fontId="0" fillId="0" borderId="0" xfId="0" applyAlignment="1">
      <alignment horizontal="right"/>
    </xf>
    <xf numFmtId="167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BCE2-38F5-4166-95EA-439A8186974B}">
  <dimension ref="A1:AB21"/>
  <sheetViews>
    <sheetView workbookViewId="0">
      <selection activeCell="C23" sqref="C23"/>
    </sheetView>
  </sheetViews>
  <sheetFormatPr defaultRowHeight="14.4" x14ac:dyDescent="0.3"/>
  <cols>
    <col min="1" max="1" width="17.88671875" bestFit="1" customWidth="1"/>
    <col min="2" max="7" width="11" bestFit="1" customWidth="1"/>
    <col min="8" max="8" width="11" customWidth="1"/>
    <col min="9" max="17" width="11" bestFit="1" customWidth="1"/>
    <col min="18" max="18" width="10.6640625" bestFit="1" customWidth="1"/>
    <col min="19" max="22" width="11" bestFit="1" customWidth="1"/>
    <col min="23" max="23" width="10" bestFit="1" customWidth="1"/>
    <col min="24" max="24" width="10" customWidth="1"/>
    <col min="25" max="28" width="11" bestFit="1" customWidth="1"/>
  </cols>
  <sheetData>
    <row r="1" spans="1:28" s="1" customFormat="1" x14ac:dyDescent="0.3">
      <c r="A1" s="1" t="s">
        <v>0</v>
      </c>
      <c r="B1" s="2">
        <v>45261</v>
      </c>
      <c r="C1" s="2">
        <v>45292</v>
      </c>
      <c r="D1" s="2">
        <v>45323</v>
      </c>
      <c r="E1" s="2">
        <v>45352</v>
      </c>
      <c r="F1" s="2">
        <v>45383</v>
      </c>
      <c r="G1" s="2">
        <v>45413</v>
      </c>
      <c r="H1" s="2">
        <v>45444</v>
      </c>
      <c r="I1" s="2">
        <v>45474</v>
      </c>
      <c r="J1" s="2">
        <v>45505</v>
      </c>
      <c r="K1" s="2">
        <v>45536</v>
      </c>
      <c r="L1" s="2">
        <v>45566</v>
      </c>
      <c r="M1" s="2">
        <v>45597</v>
      </c>
      <c r="N1" s="2">
        <v>45627</v>
      </c>
      <c r="O1" s="2">
        <v>45658</v>
      </c>
      <c r="P1" s="2">
        <v>45689</v>
      </c>
      <c r="Q1" s="2">
        <v>45717</v>
      </c>
      <c r="R1" s="2">
        <v>45748</v>
      </c>
      <c r="S1" s="2">
        <v>45778</v>
      </c>
      <c r="T1" s="2">
        <v>45809</v>
      </c>
      <c r="U1" s="2">
        <v>45839</v>
      </c>
      <c r="V1" s="2">
        <v>45870</v>
      </c>
      <c r="W1" s="2">
        <v>45901</v>
      </c>
      <c r="X1" s="2">
        <v>45931</v>
      </c>
      <c r="Y1" s="2">
        <v>45962</v>
      </c>
      <c r="Z1" s="2">
        <v>45992</v>
      </c>
      <c r="AA1" s="2">
        <v>46023</v>
      </c>
      <c r="AB1" s="2">
        <v>46054</v>
      </c>
    </row>
    <row r="2" spans="1:28" x14ac:dyDescent="0.3">
      <c r="A2" t="s">
        <v>1</v>
      </c>
      <c r="B2">
        <v>950</v>
      </c>
      <c r="C2">
        <v>950</v>
      </c>
      <c r="D2">
        <v>950</v>
      </c>
      <c r="E2">
        <v>950</v>
      </c>
      <c r="F2">
        <v>950</v>
      </c>
      <c r="G2">
        <v>950</v>
      </c>
      <c r="H2">
        <v>950</v>
      </c>
      <c r="I2">
        <v>950</v>
      </c>
      <c r="J2">
        <v>950</v>
      </c>
      <c r="K2">
        <v>950</v>
      </c>
      <c r="L2">
        <v>950</v>
      </c>
      <c r="M2">
        <v>950</v>
      </c>
      <c r="N2">
        <v>950</v>
      </c>
      <c r="O2">
        <v>950</v>
      </c>
      <c r="P2">
        <v>950</v>
      </c>
      <c r="Q2">
        <v>950</v>
      </c>
      <c r="R2">
        <v>950</v>
      </c>
      <c r="S2">
        <v>950</v>
      </c>
      <c r="T2">
        <v>950</v>
      </c>
      <c r="U2">
        <v>950</v>
      </c>
      <c r="V2">
        <v>950</v>
      </c>
      <c r="W2">
        <v>950</v>
      </c>
      <c r="X2">
        <v>950</v>
      </c>
      <c r="Y2">
        <v>950</v>
      </c>
      <c r="Z2">
        <v>950</v>
      </c>
      <c r="AA2">
        <v>950</v>
      </c>
      <c r="AB2">
        <v>950</v>
      </c>
    </row>
    <row r="3" spans="1:28" x14ac:dyDescent="0.3">
      <c r="A3" t="s">
        <v>2</v>
      </c>
      <c r="B3">
        <v>5049166</v>
      </c>
      <c r="C3">
        <v>5175919.5</v>
      </c>
      <c r="D3">
        <v>5307413.5</v>
      </c>
      <c r="E3">
        <v>5477467</v>
      </c>
      <c r="F3">
        <v>5696342.5</v>
      </c>
      <c r="G3">
        <v>5909184</v>
      </c>
      <c r="H3">
        <v>6074699.5</v>
      </c>
      <c r="I3">
        <v>6213508</v>
      </c>
      <c r="J3">
        <v>6363149</v>
      </c>
      <c r="K3">
        <v>6503153</v>
      </c>
      <c r="L3">
        <v>6647512</v>
      </c>
      <c r="M3">
        <v>6781979.5</v>
      </c>
      <c r="N3">
        <v>6916362</v>
      </c>
      <c r="O3">
        <v>7043806</v>
      </c>
      <c r="P3">
        <v>7177248</v>
      </c>
      <c r="Q3">
        <v>7349996</v>
      </c>
      <c r="R3">
        <v>7546362.5</v>
      </c>
      <c r="S3">
        <v>7725769.5</v>
      </c>
      <c r="T3">
        <v>7881434.5</v>
      </c>
      <c r="U3">
        <v>8033311.5</v>
      </c>
      <c r="V3">
        <v>8176124.5</v>
      </c>
      <c r="W3">
        <v>8316429</v>
      </c>
      <c r="X3">
        <v>8459509</v>
      </c>
      <c r="Y3">
        <v>8596462.5</v>
      </c>
      <c r="Z3">
        <v>8732084.5</v>
      </c>
      <c r="AA3">
        <v>8860458</v>
      </c>
      <c r="AB3">
        <v>8985112</v>
      </c>
    </row>
    <row r="4" spans="1:28" x14ac:dyDescent="0.3">
      <c r="A4" t="s">
        <v>3</v>
      </c>
      <c r="B4">
        <v>5051635</v>
      </c>
      <c r="C4">
        <v>5178536</v>
      </c>
      <c r="D4">
        <v>5310122</v>
      </c>
      <c r="E4">
        <v>5480228.5</v>
      </c>
      <c r="F4">
        <v>5699165</v>
      </c>
      <c r="G4">
        <v>5912065.5</v>
      </c>
      <c r="H4">
        <v>6077606</v>
      </c>
      <c r="I4">
        <v>6216458</v>
      </c>
      <c r="J4">
        <v>6366180.5</v>
      </c>
      <c r="K4">
        <v>6506222</v>
      </c>
      <c r="L4">
        <v>6650594</v>
      </c>
      <c r="M4">
        <v>6785042.5</v>
      </c>
      <c r="N4">
        <v>6919426.5</v>
      </c>
      <c r="O4">
        <v>7046877.5</v>
      </c>
      <c r="P4">
        <v>7180320</v>
      </c>
      <c r="Q4">
        <v>7353070.5</v>
      </c>
      <c r="R4">
        <v>7549460.5</v>
      </c>
      <c r="S4">
        <v>7728851.5</v>
      </c>
      <c r="T4">
        <v>7884522.5</v>
      </c>
      <c r="U4">
        <v>8036394.5</v>
      </c>
      <c r="V4">
        <v>8179199</v>
      </c>
      <c r="W4">
        <v>8319486.5</v>
      </c>
      <c r="X4">
        <v>8462565</v>
      </c>
      <c r="Y4">
        <v>8599746</v>
      </c>
      <c r="Z4">
        <v>8735817</v>
      </c>
      <c r="AA4">
        <v>8864600</v>
      </c>
      <c r="AB4">
        <v>8989727.5</v>
      </c>
    </row>
    <row r="5" spans="1:28" x14ac:dyDescent="0.3">
      <c r="A5" t="s">
        <v>4</v>
      </c>
      <c r="B5">
        <v>300.2</v>
      </c>
      <c r="C5">
        <v>296.8</v>
      </c>
      <c r="D5">
        <v>292.2</v>
      </c>
      <c r="E5">
        <v>387.2</v>
      </c>
      <c r="F5">
        <v>596</v>
      </c>
      <c r="G5">
        <v>648.6</v>
      </c>
      <c r="H5">
        <v>570.6</v>
      </c>
      <c r="I5">
        <v>304.8</v>
      </c>
      <c r="J5">
        <v>298.2</v>
      </c>
      <c r="K5">
        <v>350.6</v>
      </c>
      <c r="L5">
        <v>305.2</v>
      </c>
      <c r="M5">
        <v>306</v>
      </c>
      <c r="N5">
        <v>308</v>
      </c>
      <c r="O5">
        <v>306</v>
      </c>
      <c r="P5">
        <v>322.2</v>
      </c>
      <c r="Q5">
        <v>440.8</v>
      </c>
      <c r="R5">
        <v>522</v>
      </c>
      <c r="S5">
        <v>402</v>
      </c>
      <c r="T5">
        <v>340.4</v>
      </c>
      <c r="U5">
        <v>340.4</v>
      </c>
      <c r="V5">
        <v>347.8</v>
      </c>
      <c r="W5">
        <v>361.6</v>
      </c>
      <c r="X5">
        <v>338.2</v>
      </c>
      <c r="Y5">
        <v>341.4</v>
      </c>
      <c r="Z5">
        <v>343</v>
      </c>
      <c r="AA5">
        <v>336.6</v>
      </c>
      <c r="AB5">
        <v>354</v>
      </c>
    </row>
    <row r="6" spans="1:28" x14ac:dyDescent="0.3">
      <c r="A6" t="s">
        <v>5</v>
      </c>
      <c r="B6">
        <v>4921410</v>
      </c>
      <c r="C6">
        <v>5049166</v>
      </c>
      <c r="D6">
        <v>5175919.5</v>
      </c>
      <c r="E6">
        <v>5307413.5</v>
      </c>
      <c r="F6">
        <v>5477467</v>
      </c>
      <c r="G6">
        <v>5696342.5</v>
      </c>
      <c r="H6">
        <v>5909184</v>
      </c>
      <c r="I6">
        <v>6074699.5</v>
      </c>
      <c r="J6">
        <v>6213508</v>
      </c>
      <c r="K6">
        <v>6363149</v>
      </c>
      <c r="L6">
        <v>6503153</v>
      </c>
      <c r="M6">
        <v>6647512</v>
      </c>
      <c r="N6">
        <v>6781979.5</v>
      </c>
      <c r="O6">
        <v>6916362</v>
      </c>
      <c r="P6">
        <v>7043806</v>
      </c>
      <c r="Q6">
        <v>7177248</v>
      </c>
      <c r="R6">
        <v>7349996</v>
      </c>
      <c r="S6">
        <v>7546362.5</v>
      </c>
      <c r="T6">
        <v>7725769.5</v>
      </c>
      <c r="U6">
        <v>7881434.5</v>
      </c>
      <c r="V6">
        <v>8033311.5</v>
      </c>
      <c r="W6">
        <v>8176124.5</v>
      </c>
      <c r="X6">
        <v>8316429</v>
      </c>
      <c r="Y6">
        <v>8459509</v>
      </c>
      <c r="Z6">
        <v>8596462.5</v>
      </c>
      <c r="AA6">
        <v>8732084.5</v>
      </c>
      <c r="AB6">
        <v>8860458</v>
      </c>
    </row>
    <row r="7" spans="1:28" x14ac:dyDescent="0.3">
      <c r="A7" t="s">
        <v>6</v>
      </c>
      <c r="B7">
        <v>4923726</v>
      </c>
      <c r="C7">
        <v>5051635</v>
      </c>
      <c r="D7">
        <v>5178536</v>
      </c>
      <c r="E7">
        <v>5310122</v>
      </c>
      <c r="F7">
        <v>5480228.5</v>
      </c>
      <c r="G7">
        <v>5699165</v>
      </c>
      <c r="H7">
        <v>5912065.5</v>
      </c>
      <c r="I7">
        <v>6077606</v>
      </c>
      <c r="J7">
        <v>6216458</v>
      </c>
      <c r="K7">
        <v>6366180.5</v>
      </c>
      <c r="L7">
        <v>6506222</v>
      </c>
      <c r="M7">
        <v>6650594</v>
      </c>
      <c r="N7">
        <v>6785042.5</v>
      </c>
      <c r="O7">
        <v>6919426.5</v>
      </c>
      <c r="P7">
        <v>7046877.5</v>
      </c>
      <c r="Q7">
        <v>7180320</v>
      </c>
      <c r="R7">
        <v>7353070.5</v>
      </c>
      <c r="S7">
        <v>7549460.5</v>
      </c>
      <c r="T7">
        <v>7728851.5</v>
      </c>
      <c r="U7">
        <v>7884522.5</v>
      </c>
      <c r="V7">
        <v>8036394.5</v>
      </c>
      <c r="W7">
        <v>8179199</v>
      </c>
      <c r="X7">
        <v>8319486.5</v>
      </c>
      <c r="Y7">
        <v>8462565</v>
      </c>
      <c r="Z7">
        <v>8599746</v>
      </c>
      <c r="AA7">
        <v>8735817</v>
      </c>
      <c r="AB7">
        <v>8864600</v>
      </c>
    </row>
    <row r="8" spans="1:28" x14ac:dyDescent="0.3">
      <c r="A8" t="s">
        <v>7</v>
      </c>
      <c r="B8">
        <v>127756</v>
      </c>
      <c r="C8">
        <v>126754</v>
      </c>
      <c r="D8">
        <v>131494</v>
      </c>
      <c r="E8">
        <v>170054</v>
      </c>
      <c r="F8">
        <v>218876</v>
      </c>
      <c r="G8">
        <v>212842</v>
      </c>
      <c r="H8">
        <v>165516</v>
      </c>
      <c r="I8">
        <v>138809</v>
      </c>
      <c r="J8">
        <v>149641</v>
      </c>
      <c r="K8">
        <v>140004</v>
      </c>
      <c r="L8">
        <v>144359</v>
      </c>
      <c r="M8">
        <v>134468</v>
      </c>
      <c r="N8">
        <v>134383</v>
      </c>
      <c r="O8">
        <v>127444</v>
      </c>
      <c r="P8">
        <v>133442</v>
      </c>
      <c r="Q8">
        <v>172748</v>
      </c>
      <c r="R8">
        <v>196367</v>
      </c>
      <c r="S8">
        <v>179407</v>
      </c>
      <c r="T8">
        <v>155665</v>
      </c>
      <c r="U8">
        <v>151877</v>
      </c>
      <c r="V8">
        <v>142813</v>
      </c>
      <c r="W8">
        <v>140305</v>
      </c>
      <c r="X8">
        <v>143080</v>
      </c>
      <c r="Y8">
        <v>136954</v>
      </c>
      <c r="Z8">
        <v>135622</v>
      </c>
      <c r="AA8">
        <v>128374</v>
      </c>
      <c r="AB8">
        <v>124654</v>
      </c>
    </row>
    <row r="9" spans="1:28" x14ac:dyDescent="0.3">
      <c r="A9" t="s">
        <v>8</v>
      </c>
      <c r="B9">
        <v>127909</v>
      </c>
      <c r="C9">
        <v>126901</v>
      </c>
      <c r="D9">
        <v>131586</v>
      </c>
      <c r="E9">
        <v>170107</v>
      </c>
      <c r="F9">
        <v>218937</v>
      </c>
      <c r="G9">
        <v>212901</v>
      </c>
      <c r="H9">
        <v>165541</v>
      </c>
      <c r="I9">
        <v>138852</v>
      </c>
      <c r="J9">
        <v>149723</v>
      </c>
      <c r="K9">
        <v>140042</v>
      </c>
      <c r="L9">
        <v>144372</v>
      </c>
      <c r="M9">
        <v>134449</v>
      </c>
      <c r="N9">
        <v>134384</v>
      </c>
      <c r="O9">
        <v>127451</v>
      </c>
      <c r="P9">
        <v>133443</v>
      </c>
      <c r="Q9">
        <v>172751</v>
      </c>
      <c r="R9">
        <v>196390</v>
      </c>
      <c r="S9">
        <v>179391</v>
      </c>
      <c r="T9">
        <v>155671</v>
      </c>
      <c r="U9">
        <v>151872</v>
      </c>
      <c r="V9">
        <v>142805</v>
      </c>
      <c r="W9">
        <v>140288</v>
      </c>
      <c r="X9">
        <v>143079</v>
      </c>
      <c r="Y9">
        <v>137181</v>
      </c>
      <c r="Z9">
        <v>136071</v>
      </c>
      <c r="AA9">
        <v>128783</v>
      </c>
      <c r="AB9">
        <v>125128</v>
      </c>
    </row>
    <row r="10" spans="1:28" x14ac:dyDescent="0.3">
      <c r="A10" t="s">
        <v>9</v>
      </c>
      <c r="B10">
        <v>300.2</v>
      </c>
      <c r="C10">
        <v>296.8</v>
      </c>
      <c r="D10">
        <v>292.2</v>
      </c>
      <c r="E10">
        <v>387.2</v>
      </c>
      <c r="F10">
        <v>596</v>
      </c>
      <c r="G10">
        <v>648.6</v>
      </c>
      <c r="H10">
        <v>570.6</v>
      </c>
      <c r="I10">
        <v>304.8</v>
      </c>
      <c r="J10">
        <v>298.2</v>
      </c>
      <c r="K10">
        <v>350.6</v>
      </c>
      <c r="L10">
        <v>305.2</v>
      </c>
      <c r="M10">
        <v>306</v>
      </c>
      <c r="N10">
        <v>308</v>
      </c>
      <c r="O10">
        <v>306</v>
      </c>
      <c r="P10">
        <v>322.2</v>
      </c>
      <c r="Q10">
        <v>440.8</v>
      </c>
      <c r="R10">
        <v>522</v>
      </c>
      <c r="S10">
        <v>402</v>
      </c>
      <c r="T10">
        <v>340.4</v>
      </c>
      <c r="U10">
        <v>340.4</v>
      </c>
      <c r="V10">
        <v>347.8</v>
      </c>
      <c r="W10">
        <v>361.6</v>
      </c>
      <c r="X10">
        <v>338.2</v>
      </c>
      <c r="Y10">
        <v>341.4</v>
      </c>
      <c r="Z10">
        <v>343</v>
      </c>
      <c r="AA10">
        <v>336.6</v>
      </c>
      <c r="AB10">
        <v>354</v>
      </c>
    </row>
    <row r="11" spans="1:28" x14ac:dyDescent="0.3">
      <c r="A11" t="s">
        <v>10</v>
      </c>
      <c r="B11">
        <v>260</v>
      </c>
      <c r="C11">
        <v>260</v>
      </c>
      <c r="D11">
        <v>260</v>
      </c>
      <c r="E11">
        <v>260</v>
      </c>
      <c r="F11">
        <v>260</v>
      </c>
      <c r="G11">
        <v>260</v>
      </c>
      <c r="H11">
        <v>260</v>
      </c>
      <c r="I11">
        <v>260</v>
      </c>
      <c r="J11">
        <v>260</v>
      </c>
      <c r="K11">
        <v>260</v>
      </c>
      <c r="L11">
        <v>260</v>
      </c>
      <c r="M11">
        <v>285</v>
      </c>
      <c r="N11">
        <v>285</v>
      </c>
      <c r="O11">
        <v>285</v>
      </c>
      <c r="P11">
        <v>285</v>
      </c>
      <c r="Q11">
        <v>285</v>
      </c>
      <c r="R11">
        <v>285</v>
      </c>
      <c r="S11">
        <v>285</v>
      </c>
      <c r="T11">
        <v>285</v>
      </c>
      <c r="U11">
        <v>285</v>
      </c>
      <c r="V11">
        <v>285</v>
      </c>
      <c r="W11">
        <v>285</v>
      </c>
      <c r="X11">
        <v>285</v>
      </c>
      <c r="Y11">
        <v>285</v>
      </c>
      <c r="Z11">
        <v>285</v>
      </c>
      <c r="AA11">
        <v>285</v>
      </c>
      <c r="AB11">
        <v>285</v>
      </c>
    </row>
    <row r="12" spans="1:28" x14ac:dyDescent="0.3">
      <c r="A12" t="s">
        <v>11</v>
      </c>
      <c r="B12">
        <v>78052</v>
      </c>
      <c r="C12">
        <v>77168</v>
      </c>
      <c r="D12">
        <v>75972</v>
      </c>
      <c r="E12">
        <v>100672</v>
      </c>
      <c r="F12">
        <v>154960</v>
      </c>
      <c r="G12">
        <v>168636</v>
      </c>
      <c r="H12">
        <v>148356</v>
      </c>
      <c r="I12">
        <v>79248</v>
      </c>
      <c r="J12">
        <v>77532</v>
      </c>
      <c r="K12">
        <v>91156</v>
      </c>
      <c r="L12">
        <v>79352</v>
      </c>
      <c r="M12">
        <v>87210</v>
      </c>
      <c r="N12">
        <v>87780</v>
      </c>
      <c r="O12">
        <v>87210</v>
      </c>
      <c r="P12">
        <v>91827</v>
      </c>
      <c r="Q12">
        <v>125628</v>
      </c>
      <c r="R12">
        <v>148770</v>
      </c>
      <c r="S12">
        <v>114570</v>
      </c>
      <c r="T12">
        <v>97014</v>
      </c>
      <c r="U12">
        <v>97014</v>
      </c>
      <c r="V12">
        <v>99123</v>
      </c>
      <c r="W12">
        <v>103056</v>
      </c>
      <c r="X12">
        <v>96387</v>
      </c>
      <c r="Y12">
        <v>97299</v>
      </c>
      <c r="Z12">
        <v>97755</v>
      </c>
      <c r="AA12">
        <v>95931</v>
      </c>
      <c r="AB12">
        <v>100890</v>
      </c>
    </row>
    <row r="13" spans="1:28" x14ac:dyDescent="0.3">
      <c r="A13" t="s">
        <v>12</v>
      </c>
      <c r="B13">
        <v>730</v>
      </c>
      <c r="C13">
        <v>730</v>
      </c>
      <c r="D13">
        <v>730</v>
      </c>
      <c r="E13">
        <v>730</v>
      </c>
      <c r="F13">
        <v>730</v>
      </c>
      <c r="G13">
        <v>730</v>
      </c>
      <c r="H13">
        <v>730</v>
      </c>
      <c r="I13">
        <v>730</v>
      </c>
      <c r="J13">
        <v>730</v>
      </c>
      <c r="K13">
        <v>730</v>
      </c>
      <c r="L13">
        <v>730</v>
      </c>
      <c r="M13">
        <v>730</v>
      </c>
      <c r="N13">
        <v>730</v>
      </c>
      <c r="O13">
        <v>730</v>
      </c>
      <c r="P13">
        <v>730</v>
      </c>
      <c r="Q13">
        <v>730</v>
      </c>
      <c r="R13">
        <v>730</v>
      </c>
      <c r="S13">
        <v>730</v>
      </c>
      <c r="T13">
        <v>730</v>
      </c>
      <c r="U13">
        <v>730</v>
      </c>
      <c r="V13">
        <v>730</v>
      </c>
      <c r="W13">
        <v>730</v>
      </c>
      <c r="X13">
        <v>730</v>
      </c>
      <c r="Y13">
        <v>730</v>
      </c>
      <c r="Z13">
        <v>730</v>
      </c>
      <c r="AA13">
        <v>730</v>
      </c>
      <c r="AB13">
        <v>730</v>
      </c>
    </row>
    <row r="14" spans="1:28" x14ac:dyDescent="0.3">
      <c r="A14" t="s">
        <v>13</v>
      </c>
      <c r="B14">
        <v>933735.7</v>
      </c>
      <c r="C14">
        <v>926377.3</v>
      </c>
      <c r="D14">
        <v>960577.8</v>
      </c>
      <c r="E14">
        <v>1241781.1000000001</v>
      </c>
      <c r="F14">
        <v>1598240.1</v>
      </c>
      <c r="G14">
        <v>1554177.3</v>
      </c>
      <c r="H14">
        <v>1208449.3</v>
      </c>
      <c r="I14">
        <v>1013619.6</v>
      </c>
      <c r="J14">
        <v>1092977.8999999999</v>
      </c>
      <c r="K14">
        <v>1022306.6</v>
      </c>
      <c r="L14">
        <v>1053915.6000000001</v>
      </c>
      <c r="M14">
        <v>981616.4</v>
      </c>
      <c r="N14">
        <v>981003.2</v>
      </c>
      <c r="O14">
        <v>930392.3</v>
      </c>
      <c r="P14">
        <v>974133.9</v>
      </c>
      <c r="Q14">
        <v>1261082.3</v>
      </c>
      <c r="R14">
        <v>1433647</v>
      </c>
      <c r="S14">
        <v>1309671.1000000001</v>
      </c>
      <c r="T14">
        <v>1136398.3</v>
      </c>
      <c r="U14">
        <v>1108702.1000000001</v>
      </c>
      <c r="V14">
        <v>1042534.9</v>
      </c>
      <c r="W14">
        <v>1024226.5</v>
      </c>
      <c r="X14">
        <v>1044484</v>
      </c>
      <c r="Y14">
        <v>1001421.3</v>
      </c>
      <c r="Z14">
        <v>993318.3</v>
      </c>
      <c r="AA14">
        <v>940115.9</v>
      </c>
      <c r="AB14">
        <v>913434.4</v>
      </c>
    </row>
    <row r="15" spans="1:28" x14ac:dyDescent="0.3">
      <c r="A15" t="s">
        <v>14</v>
      </c>
      <c r="B15">
        <v>7674.54</v>
      </c>
      <c r="C15">
        <v>7614.06</v>
      </c>
      <c r="D15">
        <v>7895.16</v>
      </c>
      <c r="E15">
        <v>10206.42</v>
      </c>
      <c r="F15">
        <v>13136.22</v>
      </c>
      <c r="G15">
        <v>12774.06</v>
      </c>
      <c r="H15">
        <v>9932.4599999999991</v>
      </c>
      <c r="I15">
        <v>8331.1200000000008</v>
      </c>
      <c r="J15">
        <v>8983.3799999999992</v>
      </c>
      <c r="K15">
        <v>8402.52</v>
      </c>
      <c r="L15">
        <v>8662.32</v>
      </c>
      <c r="M15">
        <v>8068.08</v>
      </c>
      <c r="N15">
        <v>8063.04</v>
      </c>
      <c r="O15">
        <v>7647.06</v>
      </c>
      <c r="P15">
        <v>8006.58</v>
      </c>
      <c r="Q15">
        <v>10365.06</v>
      </c>
      <c r="R15">
        <v>11783.4</v>
      </c>
      <c r="S15">
        <v>10764.42</v>
      </c>
      <c r="T15">
        <v>9340.26</v>
      </c>
      <c r="U15">
        <v>9112.6200000000008</v>
      </c>
      <c r="V15">
        <v>8568.7800000000007</v>
      </c>
      <c r="W15">
        <v>8418.2999999999993</v>
      </c>
      <c r="X15">
        <v>8584.7999999999993</v>
      </c>
      <c r="Y15">
        <v>8230.86</v>
      </c>
      <c r="Z15">
        <v>8164.26</v>
      </c>
      <c r="AA15">
        <v>7726.98</v>
      </c>
      <c r="AB15">
        <v>7507.68</v>
      </c>
    </row>
    <row r="16" spans="1:28" x14ac:dyDescent="0.3">
      <c r="A16" t="s">
        <v>15</v>
      </c>
      <c r="B16">
        <v>1019462.24</v>
      </c>
      <c r="C16">
        <v>1011159.36</v>
      </c>
      <c r="D16">
        <v>1044444.96</v>
      </c>
      <c r="E16">
        <v>1352659.52</v>
      </c>
      <c r="F16">
        <v>1766336.32</v>
      </c>
      <c r="G16">
        <v>1735587.36</v>
      </c>
      <c r="H16">
        <v>1366737.76</v>
      </c>
      <c r="I16">
        <v>1101198.72</v>
      </c>
      <c r="J16">
        <v>1179493.28</v>
      </c>
      <c r="K16">
        <v>1121865.1200000001</v>
      </c>
      <c r="L16">
        <v>1141929.92</v>
      </c>
      <c r="M16">
        <v>1076894.48</v>
      </c>
      <c r="N16">
        <v>1076846.24</v>
      </c>
      <c r="O16">
        <v>1025249.36</v>
      </c>
      <c r="P16">
        <v>1073967.48</v>
      </c>
      <c r="Q16">
        <v>1397075.36</v>
      </c>
      <c r="R16">
        <v>1594200.4</v>
      </c>
      <c r="S16">
        <v>1435005.52</v>
      </c>
      <c r="T16">
        <v>1242752.56</v>
      </c>
      <c r="U16">
        <v>1214828.72</v>
      </c>
      <c r="V16">
        <v>1150226.68</v>
      </c>
      <c r="W16">
        <v>1135700.8</v>
      </c>
      <c r="X16">
        <v>1149455.8</v>
      </c>
      <c r="Y16">
        <v>1106951.1599999999</v>
      </c>
      <c r="Z16">
        <v>1099237.56</v>
      </c>
      <c r="AA16">
        <v>1043773.88</v>
      </c>
      <c r="AB16">
        <v>1021832.08</v>
      </c>
    </row>
    <row r="17" spans="1:28" x14ac:dyDescent="0.3">
      <c r="A17" t="s">
        <v>16</v>
      </c>
      <c r="B17">
        <v>2000</v>
      </c>
      <c r="C17">
        <v>2000</v>
      </c>
      <c r="D17">
        <v>2000</v>
      </c>
      <c r="E17">
        <v>2000</v>
      </c>
      <c r="F17">
        <v>2000</v>
      </c>
      <c r="G17">
        <v>2000</v>
      </c>
      <c r="H17">
        <v>2000</v>
      </c>
      <c r="I17">
        <v>2000</v>
      </c>
      <c r="J17">
        <v>2000</v>
      </c>
      <c r="K17">
        <v>2000</v>
      </c>
      <c r="L17">
        <v>2000</v>
      </c>
      <c r="M17">
        <v>2000</v>
      </c>
      <c r="N17">
        <v>2000</v>
      </c>
      <c r="O17">
        <v>2000</v>
      </c>
      <c r="P17">
        <v>2000</v>
      </c>
      <c r="Q17">
        <v>2000</v>
      </c>
      <c r="R17">
        <v>2000</v>
      </c>
      <c r="S17">
        <v>2000</v>
      </c>
      <c r="T17">
        <v>2000</v>
      </c>
      <c r="U17">
        <v>2000</v>
      </c>
      <c r="V17">
        <v>2000</v>
      </c>
      <c r="W17">
        <v>2000</v>
      </c>
      <c r="X17">
        <v>2000</v>
      </c>
      <c r="Y17">
        <v>2000</v>
      </c>
      <c r="Z17">
        <v>2000</v>
      </c>
      <c r="AA17">
        <v>2000</v>
      </c>
      <c r="AB17">
        <v>2000</v>
      </c>
    </row>
    <row r="18" spans="1:28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-134810.42000000001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-137837.14000000001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 t="s">
        <v>18</v>
      </c>
      <c r="B19">
        <v>1021462</v>
      </c>
      <c r="C19">
        <v>1013714</v>
      </c>
      <c r="D19">
        <v>1046445</v>
      </c>
      <c r="E19">
        <v>1356233</v>
      </c>
      <c r="F19">
        <v>1643031</v>
      </c>
      <c r="G19">
        <v>1737587</v>
      </c>
      <c r="H19">
        <v>1368738</v>
      </c>
      <c r="I19">
        <v>1103199</v>
      </c>
      <c r="J19">
        <v>1181493</v>
      </c>
      <c r="K19">
        <v>1123865</v>
      </c>
      <c r="L19">
        <v>1143930</v>
      </c>
      <c r="M19">
        <v>1078894</v>
      </c>
      <c r="N19">
        <v>1078846</v>
      </c>
      <c r="O19">
        <v>1027249</v>
      </c>
      <c r="P19">
        <v>1075967</v>
      </c>
      <c r="Q19">
        <v>1399075</v>
      </c>
      <c r="R19">
        <v>1458363</v>
      </c>
      <c r="S19">
        <v>1437006</v>
      </c>
      <c r="T19">
        <v>1244753</v>
      </c>
      <c r="U19">
        <v>1216829</v>
      </c>
      <c r="V19">
        <v>1152227</v>
      </c>
      <c r="W19">
        <v>1137701</v>
      </c>
      <c r="X19">
        <v>1151456</v>
      </c>
      <c r="Y19">
        <v>1108951</v>
      </c>
      <c r="Z19">
        <v>1101238</v>
      </c>
      <c r="AA19">
        <v>1045774</v>
      </c>
      <c r="AB19">
        <v>1023832</v>
      </c>
    </row>
    <row r="20" spans="1:28" x14ac:dyDescent="0.3">
      <c r="A20" t="s">
        <v>19</v>
      </c>
      <c r="B20">
        <v>1031677</v>
      </c>
      <c r="C20">
        <v>1023943</v>
      </c>
      <c r="D20">
        <v>1056910</v>
      </c>
      <c r="E20">
        <v>1369795</v>
      </c>
      <c r="F20">
        <v>1643031</v>
      </c>
      <c r="G20">
        <v>1737587</v>
      </c>
      <c r="H20">
        <v>1379794</v>
      </c>
      <c r="I20">
        <v>1114231</v>
      </c>
      <c r="J20">
        <v>1193308</v>
      </c>
      <c r="K20">
        <v>1123865</v>
      </c>
      <c r="L20">
        <v>1155369</v>
      </c>
      <c r="M20">
        <v>1089683</v>
      </c>
      <c r="N20">
        <v>1089634</v>
      </c>
      <c r="O20">
        <v>1037521</v>
      </c>
      <c r="P20">
        <v>1086727</v>
      </c>
      <c r="Q20">
        <v>1413066</v>
      </c>
      <c r="R20">
        <v>1458363</v>
      </c>
      <c r="S20">
        <v>1437006</v>
      </c>
      <c r="T20">
        <v>1244753</v>
      </c>
      <c r="U20">
        <v>1216829</v>
      </c>
      <c r="V20">
        <v>1152227</v>
      </c>
      <c r="W20">
        <v>1137701</v>
      </c>
      <c r="X20">
        <v>1151456</v>
      </c>
      <c r="Y20">
        <v>1108951</v>
      </c>
      <c r="Z20">
        <v>1101238</v>
      </c>
      <c r="AA20">
        <v>1045774</v>
      </c>
      <c r="AB20">
        <v>1023832</v>
      </c>
    </row>
    <row r="21" spans="1:28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276543</v>
      </c>
      <c r="S21">
        <v>276543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83C0-E8B5-4D70-BBA7-64E65505072C}">
  <dimension ref="A1:K16"/>
  <sheetViews>
    <sheetView tabSelected="1" workbookViewId="0">
      <pane xSplit="1" topLeftCell="B1" activePane="topRight" state="frozen"/>
      <selection pane="topRight" activeCell="D21" sqref="D21"/>
    </sheetView>
  </sheetViews>
  <sheetFormatPr defaultRowHeight="14.4" x14ac:dyDescent="0.3"/>
  <cols>
    <col min="1" max="1" width="22.5546875" bestFit="1" customWidth="1"/>
    <col min="2" max="2" width="17.33203125" style="26" bestFit="1" customWidth="1"/>
    <col min="3" max="3" width="19.44140625" style="26" bestFit="1" customWidth="1"/>
    <col min="4" max="4" width="16.33203125" style="26" bestFit="1" customWidth="1"/>
    <col min="5" max="5" width="18.88671875" style="26" bestFit="1" customWidth="1"/>
    <col min="6" max="6" width="18.77734375" style="26" bestFit="1" customWidth="1"/>
    <col min="7" max="7" width="16.33203125" style="26" bestFit="1" customWidth="1"/>
    <col min="8" max="8" width="17.44140625" style="26" bestFit="1" customWidth="1"/>
    <col min="9" max="10" width="15.5546875" style="26" bestFit="1" customWidth="1"/>
    <col min="11" max="11" width="15.5546875" bestFit="1" customWidth="1"/>
  </cols>
  <sheetData>
    <row r="1" spans="1:11" s="5" customFormat="1" ht="15" thickBot="1" x14ac:dyDescent="0.35">
      <c r="A1" s="3" t="s">
        <v>21</v>
      </c>
      <c r="B1" s="4">
        <v>45870</v>
      </c>
      <c r="C1" s="4">
        <v>45901</v>
      </c>
      <c r="D1" s="4">
        <v>45931</v>
      </c>
      <c r="E1" s="4">
        <v>45962</v>
      </c>
      <c r="F1" s="4">
        <v>45992</v>
      </c>
      <c r="G1" s="4">
        <v>46023</v>
      </c>
      <c r="H1" s="4">
        <v>46054</v>
      </c>
      <c r="I1" s="4">
        <v>46082</v>
      </c>
      <c r="J1" s="4">
        <v>46113</v>
      </c>
      <c r="K1" s="4">
        <v>46143</v>
      </c>
    </row>
    <row r="2" spans="1:11" s="5" customFormat="1" ht="15" thickBot="1" x14ac:dyDescent="0.35">
      <c r="A2" s="3" t="s">
        <v>22</v>
      </c>
      <c r="B2" s="6">
        <v>1400</v>
      </c>
      <c r="C2" s="6">
        <v>1400</v>
      </c>
      <c r="D2" s="6">
        <v>1400</v>
      </c>
      <c r="E2" s="6">
        <v>1400</v>
      </c>
      <c r="F2" s="6">
        <v>1400</v>
      </c>
      <c r="G2" s="6">
        <v>1400</v>
      </c>
      <c r="H2" s="6">
        <v>1400</v>
      </c>
      <c r="I2" s="6">
        <v>1400</v>
      </c>
      <c r="J2" s="6">
        <v>1400</v>
      </c>
      <c r="K2" s="6">
        <v>1400</v>
      </c>
    </row>
    <row r="3" spans="1:11" ht="15" thickBot="1" x14ac:dyDescent="0.35">
      <c r="A3" s="7" t="s">
        <v>23</v>
      </c>
      <c r="B3" s="8">
        <v>258990</v>
      </c>
      <c r="C3" s="8">
        <v>244730</v>
      </c>
      <c r="D3" s="8">
        <v>239810</v>
      </c>
      <c r="E3" s="8">
        <v>225080</v>
      </c>
      <c r="F3" s="8">
        <v>224380</v>
      </c>
      <c r="G3" s="8">
        <v>228080</v>
      </c>
      <c r="H3" s="8">
        <v>210070</v>
      </c>
      <c r="I3" s="8">
        <v>291720</v>
      </c>
      <c r="J3" s="9">
        <v>388790</v>
      </c>
      <c r="K3" s="10">
        <v>430620</v>
      </c>
    </row>
    <row r="4" spans="1:11" ht="15" thickBot="1" x14ac:dyDescent="0.35">
      <c r="A4" s="7" t="s">
        <v>24</v>
      </c>
      <c r="B4" s="8">
        <v>259010</v>
      </c>
      <c r="C4" s="8">
        <v>244800</v>
      </c>
      <c r="D4" s="8">
        <v>239850</v>
      </c>
      <c r="E4" s="8">
        <v>226350</v>
      </c>
      <c r="F4" s="8">
        <v>225700</v>
      </c>
      <c r="G4" s="8">
        <v>229410</v>
      </c>
      <c r="H4" s="8">
        <v>212680</v>
      </c>
      <c r="I4" s="8">
        <v>313610</v>
      </c>
      <c r="J4" s="9">
        <v>403490</v>
      </c>
      <c r="K4" s="10">
        <v>440100</v>
      </c>
    </row>
    <row r="5" spans="1:11" ht="15" thickBot="1" x14ac:dyDescent="0.35">
      <c r="A5" s="7" t="s">
        <v>25</v>
      </c>
      <c r="B5" s="11">
        <v>1</v>
      </c>
      <c r="C5" s="11">
        <v>1</v>
      </c>
      <c r="D5" s="11">
        <v>1</v>
      </c>
      <c r="E5" s="11">
        <v>0.99399999999999999</v>
      </c>
      <c r="F5" s="11">
        <v>0.99399999999999999</v>
      </c>
      <c r="G5" s="11">
        <v>0.99399999999999999</v>
      </c>
      <c r="H5" s="11">
        <v>0.98799999999999999</v>
      </c>
      <c r="I5" s="12">
        <v>0.93</v>
      </c>
      <c r="J5" s="11">
        <v>0.96399999999999997</v>
      </c>
      <c r="K5" s="13">
        <f>K3/K4</f>
        <v>0.97845944103612814</v>
      </c>
    </row>
    <row r="6" spans="1:11" ht="15" thickBot="1" x14ac:dyDescent="0.35">
      <c r="A6" s="7" t="s">
        <v>26</v>
      </c>
      <c r="B6" s="11">
        <v>612.6</v>
      </c>
      <c r="C6" s="11">
        <v>547.6</v>
      </c>
      <c r="D6" s="11">
        <v>594.9</v>
      </c>
      <c r="E6" s="11">
        <v>543.29999999999995</v>
      </c>
      <c r="F6" s="11">
        <v>537.4</v>
      </c>
      <c r="G6" s="11">
        <v>572.79999999999995</v>
      </c>
      <c r="H6" s="11">
        <v>557.9</v>
      </c>
      <c r="I6" s="11">
        <v>736.8</v>
      </c>
      <c r="J6" s="14">
        <v>1075.9000000000001</v>
      </c>
      <c r="K6" s="15">
        <v>992.2</v>
      </c>
    </row>
    <row r="7" spans="1:11" ht="15" thickBot="1" x14ac:dyDescent="0.35">
      <c r="A7" s="7" t="s">
        <v>27</v>
      </c>
      <c r="B7" s="16">
        <v>0.438</v>
      </c>
      <c r="C7" s="16">
        <v>0.39100000000000001</v>
      </c>
      <c r="D7" s="16">
        <v>0.42499999999999999</v>
      </c>
      <c r="E7" s="16">
        <v>0.38800000000000001</v>
      </c>
      <c r="F7" s="16">
        <v>0.38400000000000001</v>
      </c>
      <c r="G7" s="16">
        <v>0.40899999999999997</v>
      </c>
      <c r="H7" s="16">
        <v>0.39800000000000002</v>
      </c>
      <c r="I7" s="16">
        <v>0.52600000000000002</v>
      </c>
      <c r="J7" s="17">
        <v>0.76900000000000002</v>
      </c>
      <c r="K7" s="18">
        <f>K6/K2</f>
        <v>0.70871428571428574</v>
      </c>
    </row>
    <row r="8" spans="1:11" ht="15" thickBot="1" x14ac:dyDescent="0.35">
      <c r="A8" s="7" t="s">
        <v>28</v>
      </c>
      <c r="B8" s="19">
        <v>1890773</v>
      </c>
      <c r="C8" s="19">
        <v>1787040</v>
      </c>
      <c r="D8" s="19">
        <v>1750905</v>
      </c>
      <c r="E8" s="19">
        <v>1652355</v>
      </c>
      <c r="F8" s="19">
        <v>1647610</v>
      </c>
      <c r="G8" s="19">
        <v>1674693</v>
      </c>
      <c r="H8" s="19">
        <v>1552564</v>
      </c>
      <c r="I8" s="19">
        <v>2289353</v>
      </c>
      <c r="J8" s="20">
        <v>2945477</v>
      </c>
      <c r="K8" s="21">
        <v>3212730</v>
      </c>
    </row>
    <row r="9" spans="1:11" ht="15" thickBot="1" x14ac:dyDescent="0.35">
      <c r="A9" s="7" t="s">
        <v>29</v>
      </c>
      <c r="B9" s="19">
        <v>174591</v>
      </c>
      <c r="C9" s="19">
        <v>156066</v>
      </c>
      <c r="D9" s="19">
        <v>169547</v>
      </c>
      <c r="E9" s="19">
        <v>154841</v>
      </c>
      <c r="F9" s="19">
        <v>153159</v>
      </c>
      <c r="G9" s="19">
        <v>163248</v>
      </c>
      <c r="H9" s="19">
        <v>159002</v>
      </c>
      <c r="I9" s="19">
        <v>209988</v>
      </c>
      <c r="J9" s="20">
        <v>306632</v>
      </c>
      <c r="K9" s="21">
        <v>282777</v>
      </c>
    </row>
    <row r="10" spans="1:11" ht="15" thickBot="1" x14ac:dyDescent="0.35">
      <c r="A10" s="7" t="s">
        <v>30</v>
      </c>
      <c r="B10" s="19">
        <v>15541</v>
      </c>
      <c r="C10" s="19">
        <v>14688</v>
      </c>
      <c r="D10" s="19">
        <v>14391</v>
      </c>
      <c r="E10" s="19">
        <v>13581</v>
      </c>
      <c r="F10" s="19">
        <v>13542</v>
      </c>
      <c r="G10" s="19">
        <v>13765</v>
      </c>
      <c r="H10" s="19">
        <v>12761</v>
      </c>
      <c r="I10" s="19">
        <v>18817</v>
      </c>
      <c r="J10" s="19">
        <v>24209</v>
      </c>
      <c r="K10" s="21">
        <v>26406</v>
      </c>
    </row>
    <row r="11" spans="1:11" ht="15" thickBot="1" x14ac:dyDescent="0.35">
      <c r="A11" s="7" t="s">
        <v>31</v>
      </c>
      <c r="B11" s="19">
        <v>2000</v>
      </c>
      <c r="C11" s="19">
        <v>2000</v>
      </c>
      <c r="D11" s="19">
        <v>2000</v>
      </c>
      <c r="E11" s="19">
        <v>2000</v>
      </c>
      <c r="F11" s="19">
        <v>2000</v>
      </c>
      <c r="G11" s="19">
        <v>2000</v>
      </c>
      <c r="H11" s="19">
        <v>2000</v>
      </c>
      <c r="I11" s="19">
        <v>2000</v>
      </c>
      <c r="J11" s="19">
        <v>2000</v>
      </c>
      <c r="K11" s="21">
        <v>2000</v>
      </c>
    </row>
    <row r="12" spans="1:11" ht="15" thickBot="1" x14ac:dyDescent="0.35">
      <c r="A12" s="7" t="s">
        <v>32</v>
      </c>
      <c r="B12" s="20">
        <v>2082905</v>
      </c>
      <c r="C12" s="20">
        <v>1959794</v>
      </c>
      <c r="D12" s="20">
        <v>1936843</v>
      </c>
      <c r="E12" s="20">
        <v>1822777</v>
      </c>
      <c r="F12" s="20">
        <v>1816311</v>
      </c>
      <c r="G12" s="20">
        <v>1853706</v>
      </c>
      <c r="H12" s="20">
        <v>1726326</v>
      </c>
      <c r="I12" s="20">
        <v>2520158</v>
      </c>
      <c r="J12" s="20">
        <v>3032052</v>
      </c>
      <c r="K12" s="22">
        <f>SUM(K8:K11)</f>
        <v>3523913</v>
      </c>
    </row>
    <row r="13" spans="1:11" ht="15" thickBot="1" x14ac:dyDescent="0.35">
      <c r="A13" s="7" t="s">
        <v>33</v>
      </c>
      <c r="B13" s="19">
        <v>8.0399999999999991</v>
      </c>
      <c r="C13" s="19">
        <v>8.01</v>
      </c>
      <c r="D13" s="19">
        <v>8.08</v>
      </c>
      <c r="E13" s="19">
        <v>8.1</v>
      </c>
      <c r="F13" s="19">
        <v>8.09</v>
      </c>
      <c r="G13" s="19">
        <v>8.1300000000000008</v>
      </c>
      <c r="H13" s="19">
        <v>8.2200000000000006</v>
      </c>
      <c r="I13" s="20">
        <v>8.64</v>
      </c>
      <c r="J13" s="19">
        <v>7.8</v>
      </c>
      <c r="K13" s="22">
        <f>K12/K3</f>
        <v>8.1833472667316887</v>
      </c>
    </row>
    <row r="14" spans="1:11" ht="15" thickBot="1" x14ac:dyDescent="0.35">
      <c r="A14" s="7" t="s">
        <v>34</v>
      </c>
      <c r="B14" s="23">
        <v>8355</v>
      </c>
      <c r="C14" s="23">
        <v>8158</v>
      </c>
      <c r="D14" s="23">
        <v>7736</v>
      </c>
      <c r="E14" s="23">
        <v>7503</v>
      </c>
      <c r="F14" s="23">
        <v>7238</v>
      </c>
      <c r="G14" s="23">
        <v>7357</v>
      </c>
      <c r="H14" s="23">
        <v>7502</v>
      </c>
      <c r="I14" s="23">
        <v>9410</v>
      </c>
      <c r="J14" s="24">
        <v>12960</v>
      </c>
      <c r="K14" s="25">
        <f>K3/31</f>
        <v>13890.967741935483</v>
      </c>
    </row>
    <row r="16" spans="1:11" x14ac:dyDescent="0.3">
      <c r="I1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Tier4</vt:lpstr>
      <vt:lpstr>Tier2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U</dc:creator>
  <cp:lastModifiedBy>Praveen Kumar U</cp:lastModifiedBy>
  <dcterms:created xsi:type="dcterms:W3CDTF">2026-06-22T02:39:20Z</dcterms:created>
  <dcterms:modified xsi:type="dcterms:W3CDTF">2026-06-22T02:40:39Z</dcterms:modified>
</cp:coreProperties>
</file>